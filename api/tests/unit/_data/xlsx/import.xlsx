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4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<sst xmlns="http://schemas.openxmlformats.org/spreadsheetml/2006/main" count="139" uniqueCount="75">
  <si>
    <t>Сокращенное наименование</t>
  </si>
  <si>
    <t>Чек длинна</t>
  </si>
  <si>
    <t>Short name</t>
  </si>
  <si>
    <t>Полное наименование для списка</t>
  </si>
  <si>
    <t>Full name for list</t>
  </si>
  <si>
    <t>Полное наименование</t>
  </si>
  <si>
    <t>Full name and comments</t>
  </si>
  <si>
    <t>Фондовая Биржа</t>
  </si>
  <si>
    <t>Stock Exchange</t>
  </si>
  <si>
    <t>Комментарий</t>
  </si>
  <si>
    <t>Comments</t>
  </si>
  <si>
    <t>Вид акций</t>
  </si>
  <si>
    <t>Kind of shares</t>
  </si>
  <si>
    <t>Отрасль</t>
  </si>
  <si>
    <t>Industry</t>
  </si>
  <si>
    <t>Краткое описание деятельности</t>
  </si>
  <si>
    <t>Shirt activity discription</t>
  </si>
  <si>
    <t>Сайт</t>
  </si>
  <si>
    <t>Wiki</t>
  </si>
  <si>
    <t>Период</t>
  </si>
  <si>
    <t>Вид отчетности</t>
  </si>
  <si>
    <t>Kind of statement</t>
  </si>
  <si>
    <t>Валюта публикации</t>
  </si>
  <si>
    <t>Currency representation</t>
  </si>
  <si>
    <t>Аудитор</t>
  </si>
  <si>
    <t>Audit firm</t>
  </si>
  <si>
    <t>Внеоборотные активы</t>
  </si>
  <si>
    <t>Оборотные активы</t>
  </si>
  <si>
    <t>Итого АКТИВЫ</t>
  </si>
  <si>
    <t>Капитал и резервы</t>
  </si>
  <si>
    <t>Долгосрочные кредиты и займы</t>
  </si>
  <si>
    <t>Краткосрочные кредиты и займы</t>
  </si>
  <si>
    <t>Выручка</t>
  </si>
  <si>
    <t>Финансовые расходы</t>
  </si>
  <si>
    <t>Финансовые доходы</t>
  </si>
  <si>
    <t>Финансовые расходы, нетто</t>
  </si>
  <si>
    <t>Прибыль до налогообложения</t>
  </si>
  <si>
    <t>Чистая прибыль за период</t>
  </si>
  <si>
    <t>Амортизация основных средств и нематериальных активов</t>
  </si>
  <si>
    <t>Чистые денежные средства, полученные от операционной деятельности</t>
  </si>
  <si>
    <t>EBITDA</t>
  </si>
  <si>
    <t>Total debt/EBITDA</t>
  </si>
  <si>
    <t>ID</t>
  </si>
  <si>
    <t>PDF RUS</t>
  </si>
  <si>
    <t>PDF ENG</t>
  </si>
  <si>
    <t>Сайт - отчетность</t>
  </si>
  <si>
    <t>English statement</t>
  </si>
  <si>
    <t>Контакт e-mail адрес</t>
  </si>
  <si>
    <t>Контакт e-mail</t>
  </si>
  <si>
    <t>Отправлены письма (дата)</t>
  </si>
  <si>
    <t>Подтверждение сотрудничества</t>
  </si>
  <si>
    <t>ЛУКОЙЛ</t>
  </si>
  <si>
    <t>Нефтяная компания "ЛУКОЙЛ"</t>
  </si>
  <si>
    <t>ОАО Нефтяная компания "ЛУКОЙЛ"</t>
  </si>
  <si>
    <t>МосБиржа: Лукойл</t>
  </si>
  <si>
    <t>MosBirzha: Lukojl</t>
  </si>
  <si>
    <t>обык.</t>
  </si>
  <si>
    <t>obyk.</t>
  </si>
  <si>
    <t>Добыча полезных ископаемых</t>
  </si>
  <si>
    <t>Mining</t>
  </si>
  <si>
    <t>Разведка, добыча, переработка и реализация нефти и нефтепродуктов</t>
  </si>
  <si>
    <t>Exploration, mining, processing</t>
  </si>
  <si>
    <t>www.lukoil.ru</t>
  </si>
  <si>
    <t>МСФО</t>
  </si>
  <si>
    <t>MSFO</t>
  </si>
  <si>
    <t>Млн долл.</t>
  </si>
  <si>
    <t>M USD</t>
  </si>
  <si>
    <t>КПМГ</t>
  </si>
  <si>
    <t>KPMG</t>
  </si>
  <si>
    <t>n/a</t>
  </si>
  <si>
    <t>-</t>
  </si>
  <si>
    <t>n/d</t>
  </si>
  <si>
    <t>Да</t>
  </si>
  <si>
    <t>Нет</t>
  </si>
  <si>
    <t>http://www.lukoil.ru/new/finreports/2011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</si>
</sst>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р_._-;\-* #,##0.00_р_._-;_-* \-??_р_._-;_-@_-"/>
    <numFmt numFmtId="166" formatCode="_-* #,##0_р_._-;\-* #,##0_р_._-;_-* \-??_р_._-;_-@_-"/>
    <numFmt numFmtId="167" formatCode="#,##0______\ ;\(#,##0\)______;\-______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204"/>
    </font>
    <font>
      <sz val="10"/>
      <name val="Arial"/>
      <family val="2"/>
      <charset val="204"/>
    </font>
    <font>
      <u val="single"/>
      <sz val="10"/>
      <color rgb="FF0000FF"/>
      <name val="Arial"/>
      <family val="2"/>
      <charset val="204"/>
    </font>
    <font>
      <u val="single"/>
      <sz val="10"/>
      <color rgb="FF0000FF"/>
      <name val="Arial Cyr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7E4BD"/>
      </patternFill>
    </fill>
    <fill>
      <patternFill patternType="solid">
        <fgColor rgb="FFBFBFBF"/>
        <bgColor rgb="FFD9D9D9"/>
      </patternFill>
    </fill>
    <fill>
      <patternFill patternType="solid">
        <fgColor rgb="FFC6D9F1"/>
        <bgColor rgb="FFD9D9D9"/>
      </patternFill>
    </fill>
    <fill>
      <patternFill patternType="solid">
        <fgColor rgb="FFD7E4BD"/>
        <bgColor rgb="FFD9D9D9"/>
      </patternFill>
    </fill>
    <fill>
      <patternFill patternType="solid">
        <fgColor rgb="FFF5F5AB"/>
        <bgColor rgb="FFFFFFCC"/>
      </patternFill>
    </fill>
    <fill>
      <patternFill patternType="solid">
        <fgColor rgb="FF8EB4E3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  <cellStyle name="Excel Built-in Excel Built-in Excel Built-in Excel Built-in Excel Built-in Финансовый 3" xfId="21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5F5AB"/>
      <rgbColor rgb="FF8EB4E3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ukoil.ru/" TargetMode="External"/><Relationship Id="rId2" Type="http://schemas.openxmlformats.org/officeDocument/2006/relationships/hyperlink" Target="http://www.lukoil.ru/new/finreports/2011" TargetMode="External"/><Relationship Id="rId3" Type="http://schemas.openxmlformats.org/officeDocument/2006/relationships/hyperlink" Target="http://www.lukoil.ru/" TargetMode="External"/><Relationship Id="rId4" Type="http://schemas.openxmlformats.org/officeDocument/2006/relationships/hyperlink" Target="http://www.lukoil.ru/new/finreports/2011" TargetMode="External"/><Relationship Id="rId5" Type="http://schemas.openxmlformats.org/officeDocument/2006/relationships/hyperlink" Target="http://www.lukoil.ru/" TargetMode="External"/><Relationship Id="rId6" Type="http://schemas.openxmlformats.org/officeDocument/2006/relationships/hyperlink" Target="http://www.lukoil.ru/new/finreports/2011" TargetMode="External"/><Relationship Id="rId7" Type="http://schemas.openxmlformats.org/officeDocument/2006/relationships/hyperlink" Target="http://www.lukoil.ru/" TargetMode="External"/><Relationship Id="rId8" Type="http://schemas.openxmlformats.org/officeDocument/2006/relationships/hyperlink" Target="http://www.lukoil.ru/new/finreports/201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Z6"/>
  <sheetViews>
    <sheetView windowProtection="false"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U6" activeCellId="0" sqref="4:6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51</v>
      </c>
      <c r="AZ1" s="1" t="n">
        <v>52</v>
      </c>
    </row>
    <row r="2" customFormat="false" ht="102.2" hidden="false" customHeight="fals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  <c r="G2" s="3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2" t="s">
        <v>11</v>
      </c>
      <c r="M2" s="3" t="s">
        <v>12</v>
      </c>
      <c r="N2" s="2" t="s">
        <v>13</v>
      </c>
      <c r="O2" s="3" t="s">
        <v>14</v>
      </c>
      <c r="P2" s="2" t="s">
        <v>15</v>
      </c>
      <c r="Q2" s="3" t="s">
        <v>16</v>
      </c>
      <c r="R2" s="2" t="s">
        <v>17</v>
      </c>
      <c r="S2" s="3" t="s">
        <v>18</v>
      </c>
      <c r="T2" s="4" t="s">
        <v>19</v>
      </c>
      <c r="U2" s="2" t="s">
        <v>20</v>
      </c>
      <c r="V2" s="3" t="s">
        <v>21</v>
      </c>
      <c r="W2" s="2" t="s">
        <v>22</v>
      </c>
      <c r="X2" s="3" t="s">
        <v>23</v>
      </c>
      <c r="Y2" s="2" t="s">
        <v>24</v>
      </c>
      <c r="Z2" s="3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9</v>
      </c>
    </row>
    <row r="3" customFormat="false" ht="12.8" hidden="false" customHeight="false" outlineLevel="0" collapsed="false">
      <c r="A3" s="7" t="s">
        <v>51</v>
      </c>
      <c r="B3" s="7" t="e">
        <f aca="false">IF(LEN(A3)&gt;LEN(C3),LEN(A3),LEN(C3))</f>
        <v>#NAME?</v>
      </c>
      <c r="C3" s="7" t="e">
        <f aca="false">translit(A3)</f>
        <v>#NAME?</v>
      </c>
      <c r="D3" s="7" t="s">
        <v>52</v>
      </c>
      <c r="E3" s="8" t="e">
        <f aca="false">translit(D3)</f>
        <v>#NAME?</v>
      </c>
      <c r="F3" s="8" t="s">
        <v>53</v>
      </c>
      <c r="G3" s="8" t="e">
        <f aca="false">"OJSC "&amp;E3</f>
        <v>#NAME?</v>
      </c>
      <c r="H3" s="7" t="s">
        <v>54</v>
      </c>
      <c r="I3" s="7" t="s">
        <v>55</v>
      </c>
      <c r="J3" s="7"/>
      <c r="K3" s="7"/>
      <c r="L3" s="7" t="s">
        <v>56</v>
      </c>
      <c r="M3" s="7" t="s">
        <v>57</v>
      </c>
      <c r="N3" s="7" t="s">
        <v>58</v>
      </c>
      <c r="O3" s="7" t="s">
        <v>59</v>
      </c>
      <c r="P3" s="7" t="s">
        <v>60</v>
      </c>
      <c r="Q3" s="0" t="s">
        <v>61</v>
      </c>
      <c r="R3" s="9" t="s">
        <v>62</v>
      </c>
      <c r="S3" s="9"/>
      <c r="T3" s="10" t="n">
        <v>2010</v>
      </c>
      <c r="U3" s="7" t="s">
        <v>63</v>
      </c>
      <c r="V3" s="7" t="s">
        <v>64</v>
      </c>
      <c r="W3" s="7" t="s">
        <v>65</v>
      </c>
      <c r="X3" s="0" t="s">
        <v>66</v>
      </c>
      <c r="Y3" s="7" t="s">
        <v>67</v>
      </c>
      <c r="Z3" s="0" t="s">
        <v>68</v>
      </c>
      <c r="AA3" s="11" t="n">
        <v>1932235.46</v>
      </c>
      <c r="AB3" s="11" t="n">
        <v>628342.2473</v>
      </c>
      <c r="AC3" s="11" t="n">
        <f aca="false">AB3+AA3</f>
        <v>2560577.7073</v>
      </c>
      <c r="AD3" s="11" t="s">
        <v>69</v>
      </c>
      <c r="AE3" s="12" t="n">
        <v>276395.0061</v>
      </c>
      <c r="AF3" s="11" t="s">
        <v>70</v>
      </c>
      <c r="AG3" s="11" t="n">
        <v>3187464.11750685</v>
      </c>
      <c r="AH3" s="11" t="n">
        <v>-21623.1035068493</v>
      </c>
      <c r="AI3" s="11" t="n">
        <v>5284.29776712329</v>
      </c>
      <c r="AJ3" s="11" t="n">
        <f aca="false">AI3+AH3</f>
        <v>-16338.805739726</v>
      </c>
      <c r="AK3" s="11" t="n">
        <v>348338.479246575</v>
      </c>
      <c r="AL3" s="11" t="s">
        <v>71</v>
      </c>
      <c r="AM3" s="11" t="n">
        <v>-126155.016808219</v>
      </c>
      <c r="AN3" s="11" t="n">
        <v>411233.770486301</v>
      </c>
      <c r="AO3" s="11" t="n">
        <f aca="false">AK3-AJ3-AM3</f>
        <v>490832.301794521</v>
      </c>
      <c r="AP3" s="13" t="e">
        <f aca="false">IF(AO3=0,"н/д",IF((AE3+AF3)/AO3&gt;=0,(AE3+AF3)/AO3,"Отриц."))</f>
        <v>#VALUE!</v>
      </c>
      <c r="AQ3" s="14" t="n">
        <v>1337</v>
      </c>
      <c r="AR3" s="14" t="s">
        <v>72</v>
      </c>
      <c r="AS3" s="14" t="s">
        <v>73</v>
      </c>
      <c r="AT3" s="9" t="s">
        <v>74</v>
      </c>
      <c r="AU3" s="9"/>
      <c r="AV3" s="9"/>
      <c r="AW3" s="7"/>
      <c r="AX3" s="7"/>
      <c r="AY3" s="7"/>
      <c r="AZ3" s="7"/>
    </row>
    <row r="4" customFormat="false" ht="12.8" hidden="false" customHeight="false" outlineLevel="0" collapsed="false">
      <c r="A4" s="7" t="s">
        <v>51</v>
      </c>
      <c r="B4" s="7" t="e">
        <f aca="false">IF(LEN(A4)&gt;LEN(C4),LEN(A4),LEN(C4))</f>
        <v>#NAME?</v>
      </c>
      <c r="C4" s="7" t="e">
        <f aca="false">translit(A4)</f>
        <v>#NAME?</v>
      </c>
      <c r="D4" s="7" t="s">
        <v>52</v>
      </c>
      <c r="E4" s="8" t="e">
        <f aca="false">translit(D4)</f>
        <v>#NAME?</v>
      </c>
      <c r="F4" s="8" t="s">
        <v>53</v>
      </c>
      <c r="G4" s="8" t="e">
        <f aca="false">"OJSC "&amp;E4</f>
        <v>#NAME?</v>
      </c>
      <c r="H4" s="7" t="s">
        <v>54</v>
      </c>
      <c r="I4" s="7" t="s">
        <v>55</v>
      </c>
      <c r="J4" s="7"/>
      <c r="K4" s="7"/>
      <c r="L4" s="7" t="s">
        <v>56</v>
      </c>
      <c r="M4" s="7" t="s">
        <v>57</v>
      </c>
      <c r="N4" s="7" t="s">
        <v>58</v>
      </c>
      <c r="O4" s="7" t="s">
        <v>59</v>
      </c>
      <c r="P4" s="7" t="s">
        <v>60</v>
      </c>
      <c r="Q4" s="7" t="s">
        <v>61</v>
      </c>
      <c r="R4" s="9" t="s">
        <v>62</v>
      </c>
      <c r="S4" s="9"/>
      <c r="T4" s="15" t="n">
        <v>2011</v>
      </c>
      <c r="U4" s="7" t="s">
        <v>63</v>
      </c>
      <c r="V4" s="7" t="s">
        <v>64</v>
      </c>
      <c r="W4" s="7" t="s">
        <v>65</v>
      </c>
      <c r="X4" s="16" t="s">
        <v>66</v>
      </c>
      <c r="Y4" s="7" t="s">
        <v>67</v>
      </c>
      <c r="Z4" s="16" t="s">
        <v>68</v>
      </c>
      <c r="AA4" s="11" t="n">
        <v>2178484.7143</v>
      </c>
      <c r="AB4" s="11" t="n">
        <v>757542.0369</v>
      </c>
      <c r="AC4" s="11" t="n">
        <f aca="false">AB4+AA4</f>
        <v>2936026.7512</v>
      </c>
      <c r="AD4" s="11" t="n">
        <v>2172142.0826</v>
      </c>
      <c r="AE4" s="12" t="n">
        <v>235031.53</v>
      </c>
      <c r="AF4" s="11" t="n">
        <v>57695.4112</v>
      </c>
      <c r="AG4" s="11" t="n">
        <v>3927631.17291781</v>
      </c>
      <c r="AH4" s="11" t="n">
        <v>-20394.8824093151</v>
      </c>
      <c r="AI4" s="11" t="n">
        <v>6200.74955095891</v>
      </c>
      <c r="AJ4" s="11" t="n">
        <f aca="false">AI4+AH4</f>
        <v>-14194.1328583562</v>
      </c>
      <c r="AK4" s="11" t="n">
        <v>385533.807388767</v>
      </c>
      <c r="AL4" s="11" t="n">
        <v>288760.971979726</v>
      </c>
      <c r="AM4" s="11" t="n">
        <v>-131450.012992603</v>
      </c>
      <c r="AN4" s="11" t="n">
        <v>455916.722907946</v>
      </c>
      <c r="AO4" s="11" t="n">
        <f aca="false">AK4-AJ4-AM4</f>
        <v>531177.953239726</v>
      </c>
      <c r="AP4" s="13" t="n">
        <f aca="false">IF(AO4=0,"н/д",IF((AE4+AF4)/AO4&gt;=0,(AE4+AF4)/AO4,"Отриц."))</f>
        <v>0.551090156160697</v>
      </c>
      <c r="AQ4" s="14" t="n">
        <v>1337</v>
      </c>
      <c r="AR4" s="14" t="s">
        <v>72</v>
      </c>
      <c r="AS4" s="14" t="s">
        <v>73</v>
      </c>
      <c r="AT4" s="9" t="s">
        <v>74</v>
      </c>
      <c r="AU4" s="9"/>
      <c r="AV4" s="9"/>
      <c r="AW4" s="7"/>
      <c r="AX4" s="7"/>
      <c r="AY4" s="7"/>
      <c r="AZ4" s="7"/>
    </row>
    <row r="5" customFormat="false" ht="12.8" hidden="false" customHeight="false" outlineLevel="0" collapsed="false">
      <c r="A5" s="7" t="s">
        <v>51</v>
      </c>
      <c r="B5" s="7" t="e">
        <f aca="false">IF(LEN(A5)&gt;LEN(C5),LEN(A5),LEN(C5))</f>
        <v>#NAME?</v>
      </c>
      <c r="C5" s="7" t="e">
        <f aca="false">translit(A5)</f>
        <v>#NAME?</v>
      </c>
      <c r="D5" s="7" t="s">
        <v>52</v>
      </c>
      <c r="E5" s="8" t="e">
        <f aca="false">translit(D5)</f>
        <v>#NAME?</v>
      </c>
      <c r="F5" s="8" t="s">
        <v>53</v>
      </c>
      <c r="G5" s="8" t="e">
        <f aca="false">"OJSC "&amp;E5</f>
        <v>#NAME?</v>
      </c>
      <c r="H5" s="7" t="s">
        <v>54</v>
      </c>
      <c r="I5" s="7" t="s">
        <v>55</v>
      </c>
      <c r="J5" s="7"/>
      <c r="K5" s="7"/>
      <c r="L5" s="7" t="s">
        <v>56</v>
      </c>
      <c r="M5" s="7" t="s">
        <v>57</v>
      </c>
      <c r="N5" s="7" t="s">
        <v>58</v>
      </c>
      <c r="O5" s="7" t="s">
        <v>59</v>
      </c>
      <c r="P5" s="7" t="s">
        <v>60</v>
      </c>
      <c r="Q5" s="7" t="s">
        <v>61</v>
      </c>
      <c r="R5" s="9" t="s">
        <v>62</v>
      </c>
      <c r="S5" s="9"/>
      <c r="T5" s="17" t="n">
        <v>2012</v>
      </c>
      <c r="U5" s="7" t="s">
        <v>63</v>
      </c>
      <c r="V5" s="7" t="s">
        <v>64</v>
      </c>
      <c r="W5" s="7" t="s">
        <v>65</v>
      </c>
      <c r="X5" s="16" t="s">
        <v>66</v>
      </c>
      <c r="Y5" s="7" t="s">
        <v>67</v>
      </c>
      <c r="Z5" s="16" t="s">
        <v>68</v>
      </c>
      <c r="AA5" s="11" t="n">
        <v>2268476.2176</v>
      </c>
      <c r="AB5" s="11" t="n">
        <v>737236.5471</v>
      </c>
      <c r="AC5" s="11" t="n">
        <f aca="false">AB5+AA5</f>
        <v>3005712.7647</v>
      </c>
      <c r="AD5" s="11" t="n">
        <v>2253289.8676</v>
      </c>
      <c r="AE5" s="12" t="n">
        <v>181112.4101</v>
      </c>
      <c r="AF5" s="11" t="n">
        <v>19985.2366</v>
      </c>
      <c r="AG5" s="11" t="n">
        <v>4327237.40074836</v>
      </c>
      <c r="AH5" s="11" t="n">
        <v>-16728.0088639344</v>
      </c>
      <c r="AI5" s="11" t="n">
        <v>7990.88899262294</v>
      </c>
      <c r="AJ5" s="11" t="n">
        <f aca="false">AI5+AH5</f>
        <v>-8737.11987131146</v>
      </c>
      <c r="AK5" s="11" t="n">
        <v>426688.597843442</v>
      </c>
      <c r="AL5" s="11" t="n">
        <v>339690.514569672</v>
      </c>
      <c r="AM5" s="11" t="n">
        <v>-150241.150242623</v>
      </c>
      <c r="AN5" s="11" t="n">
        <v>590672.833435245</v>
      </c>
      <c r="AO5" s="11" t="n">
        <f aca="false">AK5-AJ5-AM5</f>
        <v>585666.867957376</v>
      </c>
      <c r="AP5" s="13" t="n">
        <f aca="false">IF(AO5=0,"н/д",IF((AE5+AF5)/AO5&gt;=0,(AE5+AF5)/AO5,"Отриц."))</f>
        <v>0.343365243455492</v>
      </c>
      <c r="AQ5" s="14" t="n">
        <v>1337</v>
      </c>
      <c r="AR5" s="14" t="s">
        <v>72</v>
      </c>
      <c r="AS5" s="14" t="s">
        <v>73</v>
      </c>
      <c r="AT5" s="9" t="s">
        <v>74</v>
      </c>
      <c r="AU5" s="9"/>
      <c r="AV5" s="9"/>
      <c r="AW5" s="7"/>
      <c r="AX5" s="7"/>
      <c r="AY5" s="7"/>
      <c r="AZ5" s="7"/>
    </row>
    <row r="6" customFormat="false" ht="12.8" hidden="false" customHeight="false" outlineLevel="0" collapsed="false">
      <c r="A6" s="7" t="s">
        <v>51</v>
      </c>
      <c r="B6" s="7" t="e">
        <f aca="false">IF(LEN(A6)&gt;LEN(C6),LEN(A6),LEN(C6))</f>
        <v>#NAME?</v>
      </c>
      <c r="C6" s="7" t="e">
        <f aca="false">translit(A6)</f>
        <v>#NAME?</v>
      </c>
      <c r="D6" s="7" t="s">
        <v>52</v>
      </c>
      <c r="E6" s="8" t="e">
        <f aca="false">translit(D6)</f>
        <v>#NAME?</v>
      </c>
      <c r="F6" s="8" t="s">
        <v>53</v>
      </c>
      <c r="G6" s="8" t="e">
        <f aca="false">"OJSC "&amp;E6</f>
        <v>#NAME?</v>
      </c>
      <c r="H6" s="7" t="s">
        <v>54</v>
      </c>
      <c r="I6" s="0" t="s">
        <v>55</v>
      </c>
      <c r="L6" s="7" t="s">
        <v>56</v>
      </c>
      <c r="M6" s="7" t="s">
        <v>57</v>
      </c>
      <c r="N6" s="7" t="s">
        <v>58</v>
      </c>
      <c r="O6" s="7" t="s">
        <v>59</v>
      </c>
      <c r="P6" s="7" t="s">
        <v>60</v>
      </c>
      <c r="Q6" s="0" t="s">
        <v>61</v>
      </c>
      <c r="R6" s="9" t="s">
        <v>62</v>
      </c>
      <c r="S6" s="9"/>
      <c r="T6" s="18" t="n">
        <v>2013</v>
      </c>
      <c r="U6" s="7" t="s">
        <v>63</v>
      </c>
      <c r="V6" s="0" t="s">
        <v>64</v>
      </c>
      <c r="W6" s="7" t="s">
        <v>65</v>
      </c>
      <c r="X6" s="16" t="s">
        <v>66</v>
      </c>
      <c r="Y6" s="7" t="s">
        <v>67</v>
      </c>
      <c r="Z6" s="16" t="s">
        <v>68</v>
      </c>
      <c r="AA6" s="11" t="n">
        <v>2816151.2848</v>
      </c>
      <c r="AB6" s="11" t="n">
        <v>765699.634</v>
      </c>
      <c r="AC6" s="11" t="n">
        <f aca="false">AB6+AA6</f>
        <v>3581850.9188</v>
      </c>
      <c r="AD6" s="11" t="n">
        <v>2580861.066</v>
      </c>
      <c r="AE6" s="11" t="n">
        <v>310371.0036</v>
      </c>
      <c r="AF6" s="11" t="n">
        <v>43791.6696</v>
      </c>
      <c r="AG6" s="11" t="e">
        <f aca="false">141452*#REF!</f>
        <v>#REF!</v>
      </c>
      <c r="AH6" s="11" t="n">
        <v>-15541.8173150685</v>
      </c>
      <c r="AI6" s="11" t="n">
        <v>7611.66872602739</v>
      </c>
      <c r="AJ6" s="11" t="n">
        <f aca="false">AI6+AH6</f>
        <v>-7930.14858904111</v>
      </c>
      <c r="AK6" s="11" t="n">
        <v>333066.240739726</v>
      </c>
      <c r="AL6" s="11" t="n">
        <v>242904.591520548</v>
      </c>
      <c r="AM6" s="11" t="n">
        <v>-183317.009150685</v>
      </c>
      <c r="AN6" s="11" t="n">
        <v>523867.526671232</v>
      </c>
      <c r="AO6" s="11" t="n">
        <f aca="false">AK6-AJ6-AM6</f>
        <v>524313.398479452</v>
      </c>
      <c r="AP6" s="13" t="n">
        <f aca="false">IF(AO6=0,"н/д",IF((AE6+AF6)/AO6&gt;=0,(AE6+AF6)/AO6,"Отриц."))</f>
        <v>0.675478967783578</v>
      </c>
      <c r="AQ6" s="14" t="n">
        <v>1337</v>
      </c>
      <c r="AR6" s="14" t="s">
        <v>72</v>
      </c>
      <c r="AS6" s="14" t="s">
        <v>73</v>
      </c>
      <c r="AT6" s="9" t="s">
        <v>74</v>
      </c>
      <c r="AU6" s="9"/>
      <c r="AV6" s="9"/>
    </row>
  </sheetData>
  <hyperlinks>
    <hyperlink ref="R3" r:id="rId1" display="www.lukoil.ru"/>
    <hyperlink ref="AT3" r:id="rId2" display="http://www.lukoil.ru/new/finreports/2011"/>
    <hyperlink ref="R4" r:id="rId3" display="www.lukoil.ru"/>
    <hyperlink ref="AT4" r:id="rId4" display="http://www.lukoil.ru/new/finreports/2011"/>
    <hyperlink ref="R5" r:id="rId5" display="www.lukoil.ru"/>
    <hyperlink ref="AT5" r:id="rId6" display="http://www.lukoil.ru/new/finreports/2011"/>
    <hyperlink ref="R6" r:id="rId7" display="www.lukoil.ru"/>
    <hyperlink ref="AT6" r:id="rId8" display="http://www.lukoil.ru/new/finreports/201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2015-10-08T09:37:20Z</dcterms:created>
  <dc:creator>ElisDN </dc:creator>
  <dc:language>ru-RU</dc:language>
  <cp:revision>0</cp:revision>
</cp:coreProperties>
</file>