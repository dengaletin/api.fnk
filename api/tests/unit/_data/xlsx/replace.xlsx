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44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<sst xmlns="http://schemas.openxmlformats.org/spreadsheetml/2006/main" count="76" uniqueCount="73">
  <si>
    <t>Сокращенное наименование</t>
  </si>
  <si>
    <t>Чек длинна</t>
  </si>
  <si>
    <t>Short name</t>
  </si>
  <si>
    <t>Полное наименование для списка</t>
  </si>
  <si>
    <t>Full name for list</t>
  </si>
  <si>
    <t>Полное наименование</t>
  </si>
  <si>
    <t>Full name and comments</t>
  </si>
  <si>
    <t>Фондовая Биржа</t>
  </si>
  <si>
    <t>Stock Exchange</t>
  </si>
  <si>
    <t>Комментарий</t>
  </si>
  <si>
    <t>Comments</t>
  </si>
  <si>
    <t>Вид акций</t>
  </si>
  <si>
    <t>Kind of shares</t>
  </si>
  <si>
    <t>Отрасль</t>
  </si>
  <si>
    <t>Industry</t>
  </si>
  <si>
    <t>Краткое описание деятельности</t>
  </si>
  <si>
    <t>Shirt activity discription</t>
  </si>
  <si>
    <t>Сайт</t>
  </si>
  <si>
    <t>Wiki</t>
  </si>
  <si>
    <t>Период</t>
  </si>
  <si>
    <t>Вид отчетности</t>
  </si>
  <si>
    <t>Kind of statement</t>
  </si>
  <si>
    <t>Валюта публикации</t>
  </si>
  <si>
    <t>Currency representation</t>
  </si>
  <si>
    <t>Аудитор</t>
  </si>
  <si>
    <t>Audit firm</t>
  </si>
  <si>
    <t>Внеоборотные активы</t>
  </si>
  <si>
    <t>Оборотные активы</t>
  </si>
  <si>
    <t>Итого АКТИВЫ</t>
  </si>
  <si>
    <t>Капитал и резервы</t>
  </si>
  <si>
    <t>Долгосрочные кредиты и займы</t>
  </si>
  <si>
    <t>Краткосрочные кредиты и займы</t>
  </si>
  <si>
    <t>Выручка</t>
  </si>
  <si>
    <t>Финансовые расходы</t>
  </si>
  <si>
    <t>Финансовые доходы</t>
  </si>
  <si>
    <t>Финансовые расходы, нетто</t>
  </si>
  <si>
    <t>Прибыль до налогообложения</t>
  </si>
  <si>
    <t>Чистая прибыль за период</t>
  </si>
  <si>
    <t>Амортизация основных средств и нематериальных активов</t>
  </si>
  <si>
    <t>Чистые денежные средства, полученные от операционной деятельности</t>
  </si>
  <si>
    <t>EBITDA</t>
  </si>
  <si>
    <t>Total debt/EBITDA</t>
  </si>
  <si>
    <t>ID</t>
  </si>
  <si>
    <t>PDF RUS</t>
  </si>
  <si>
    <t>PDF ENG</t>
  </si>
  <si>
    <t>Сайт - отчетность</t>
  </si>
  <si>
    <t>English statement</t>
  </si>
  <si>
    <t>Контакт e-mail адрес</t>
  </si>
  <si>
    <t>Контакт e-mail</t>
  </si>
  <si>
    <t>Отправлены письма (дата)</t>
  </si>
  <si>
    <t>Подтверждение сотрудничества</t>
  </si>
  <si>
    <t>Мосэнерго</t>
  </si>
  <si>
    <t>ОАО Мосэнерго</t>
  </si>
  <si>
    <t>МосБиржа: +МосЭнерго</t>
  </si>
  <si>
    <t>MosBirzha: Mosenergo</t>
  </si>
  <si>
    <t>обык., Прив.</t>
  </si>
  <si>
    <t>obyk., Priv.</t>
  </si>
  <si>
    <t>Добыча топливно-энергетических полезных ископаемых</t>
  </si>
  <si>
    <t>Mining energo</t>
  </si>
  <si>
    <t>Разведка, добыча, переработка и реализация нефти и нефтепродуктов</t>
  </si>
  <si>
    <t>Exploration, mining, processing</t>
  </si>
  <si>
    <t>www.mosenergo.ru</t>
  </si>
  <si>
    <t>US GAAP</t>
  </si>
  <si>
    <t>Млн долл.</t>
  </si>
  <si>
    <t>M USD</t>
  </si>
  <si>
    <t>КПМГ</t>
  </si>
  <si>
    <t>KPMG</t>
  </si>
  <si>
    <t>n/a</t>
  </si>
  <si>
    <t>-</t>
  </si>
  <si>
    <t>n/d</t>
  </si>
  <si>
    <t>Да</t>
  </si>
  <si>
    <t>Нет</t>
  </si>
  <si>
    <t>http://www.lukoil.ru/new/finreports/2011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</si>
</sst>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р_._-;\-* #,##0.00_р_._-;_-* \-??_р_._-;_-@_-"/>
    <numFmt numFmtId="166" formatCode="_-* #,##0_р_._-;\-* #,##0_р_._-;_-* \-??_р_._-;_-@_-"/>
    <numFmt numFmtId="167" formatCode="#,##0______\ ;\(#,##0\)______;\-______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204"/>
    </font>
    <font>
      <sz val="10"/>
      <name val="Arial"/>
      <family val="2"/>
      <charset val="204"/>
    </font>
    <font>
      <u val="single"/>
      <sz val="10"/>
      <color rgb="FF0000FF"/>
      <name val="Arial"/>
      <family val="2"/>
      <charset val="204"/>
    </font>
    <font>
      <u val="single"/>
      <sz val="10"/>
      <color rgb="FF0000FF"/>
      <name val="Arial Cyr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6D9F1"/>
      </patternFill>
    </fill>
    <fill>
      <patternFill patternType="solid">
        <fgColor rgb="FFBFBFBF"/>
        <bgColor rgb="FFD9D9D9"/>
      </patternFill>
    </fill>
    <fill>
      <patternFill patternType="solid">
        <fgColor rgb="FFC6D9F1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1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  <cellStyle name="Excel Built-in Excel Built-in Excel Built-in Excel Built-in Excel Built-in Excel Built-in Финансовый 3" xfId="21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mosenergo.ru/" TargetMode="External"/><Relationship Id="rId2" Type="http://schemas.openxmlformats.org/officeDocument/2006/relationships/hyperlink" Target="http://www.lukoil.ru/new/finreports/201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Z3"/>
  <sheetViews>
    <sheetView windowProtection="false" showFormulas="false" showGridLines="true" showRowColHeaders="true" showZeros="true" rightToLeft="false" tabSelected="true" showOutlineSymbols="true" defaultGridColor="true" view="normal" topLeftCell="AL1" colorId="64" zoomScale="100" zoomScaleNormal="100" zoomScalePageLayoutView="100" workbookViewId="0">
      <selection pane="topLeft" activeCell="AP7" activeCellId="0" sqref="AP7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  <c r="V1" s="1" t="n">
        <v>22</v>
      </c>
      <c r="W1" s="1" t="n">
        <v>23</v>
      </c>
      <c r="X1" s="1" t="n">
        <v>24</v>
      </c>
      <c r="Y1" s="1" t="n">
        <v>25</v>
      </c>
      <c r="Z1" s="1" t="n">
        <v>26</v>
      </c>
      <c r="AA1" s="1" t="n">
        <v>27</v>
      </c>
      <c r="AB1" s="1" t="n">
        <v>28</v>
      </c>
      <c r="AC1" s="1" t="n">
        <v>29</v>
      </c>
      <c r="AD1" s="1" t="n">
        <v>30</v>
      </c>
      <c r="AE1" s="1" t="n">
        <v>31</v>
      </c>
      <c r="AF1" s="1" t="n">
        <v>32</v>
      </c>
      <c r="AG1" s="1" t="n">
        <v>33</v>
      </c>
      <c r="AH1" s="1" t="n">
        <v>34</v>
      </c>
      <c r="AI1" s="1" t="n">
        <v>35</v>
      </c>
      <c r="AJ1" s="1" t="n">
        <v>36</v>
      </c>
      <c r="AK1" s="1" t="n">
        <v>37</v>
      </c>
      <c r="AL1" s="1" t="n">
        <v>38</v>
      </c>
      <c r="AM1" s="1" t="n">
        <v>39</v>
      </c>
      <c r="AN1" s="1" t="n">
        <v>40</v>
      </c>
      <c r="AO1" s="1" t="n">
        <v>41</v>
      </c>
      <c r="AP1" s="1" t="n">
        <v>42</v>
      </c>
      <c r="AQ1" s="1" t="n">
        <v>43</v>
      </c>
      <c r="AR1" s="1" t="n">
        <v>44</v>
      </c>
      <c r="AS1" s="1" t="n">
        <v>45</v>
      </c>
      <c r="AT1" s="1" t="n">
        <v>46</v>
      </c>
      <c r="AU1" s="1" t="n">
        <v>47</v>
      </c>
      <c r="AV1" s="1" t="n">
        <v>48</v>
      </c>
      <c r="AW1" s="1" t="n">
        <v>49</v>
      </c>
      <c r="AX1" s="1" t="n">
        <v>50</v>
      </c>
      <c r="AY1" s="1" t="n">
        <v>51</v>
      </c>
      <c r="AZ1" s="1" t="n">
        <v>52</v>
      </c>
    </row>
    <row r="2" customFormat="false" ht="102.2" hidden="false" customHeight="false" outlineLevel="0" collapsed="false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2" t="s">
        <v>5</v>
      </c>
      <c r="G2" s="3" t="s">
        <v>6</v>
      </c>
      <c r="H2" s="2" t="s">
        <v>7</v>
      </c>
      <c r="I2" s="3" t="s">
        <v>8</v>
      </c>
      <c r="J2" s="3" t="s">
        <v>9</v>
      </c>
      <c r="K2" s="3" t="s">
        <v>10</v>
      </c>
      <c r="L2" s="2" t="s">
        <v>11</v>
      </c>
      <c r="M2" s="3" t="s">
        <v>12</v>
      </c>
      <c r="N2" s="2" t="s">
        <v>13</v>
      </c>
      <c r="O2" s="3" t="s">
        <v>14</v>
      </c>
      <c r="P2" s="2" t="s">
        <v>15</v>
      </c>
      <c r="Q2" s="3" t="s">
        <v>16</v>
      </c>
      <c r="R2" s="2" t="s">
        <v>17</v>
      </c>
      <c r="S2" s="3" t="s">
        <v>18</v>
      </c>
      <c r="T2" s="4" t="s">
        <v>19</v>
      </c>
      <c r="U2" s="2" t="s">
        <v>20</v>
      </c>
      <c r="V2" s="3" t="s">
        <v>21</v>
      </c>
      <c r="W2" s="2" t="s">
        <v>22</v>
      </c>
      <c r="X2" s="3" t="s">
        <v>23</v>
      </c>
      <c r="Y2" s="2" t="s">
        <v>24</v>
      </c>
      <c r="Z2" s="3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5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9</v>
      </c>
    </row>
    <row r="3" customFormat="false" ht="12.8" hidden="false" customHeight="false" outlineLevel="0" collapsed="false">
      <c r="A3" s="7" t="s">
        <v>51</v>
      </c>
      <c r="B3" s="7" t="e">
        <f aca="false">IF(LEN(A3)&gt;LEN(C3),LEN(A3),LEN(C3))</f>
        <v>#NAME?</v>
      </c>
      <c r="C3" s="7" t="e">
        <f aca="false">translit(A3)</f>
        <v>#NAME?</v>
      </c>
      <c r="D3" s="7" t="s">
        <v>51</v>
      </c>
      <c r="E3" s="8" t="e">
        <f aca="false">translit(D3)</f>
        <v>#NAME?</v>
      </c>
      <c r="F3" s="8" t="s">
        <v>52</v>
      </c>
      <c r="G3" s="8" t="e">
        <f aca="false">"OJSC "&amp;E3</f>
        <v>#NAME?</v>
      </c>
      <c r="H3" s="7" t="s">
        <v>53</v>
      </c>
      <c r="I3" s="7" t="s">
        <v>54</v>
      </c>
      <c r="J3" s="7"/>
      <c r="K3" s="7"/>
      <c r="L3" s="7" t="s">
        <v>55</v>
      </c>
      <c r="M3" s="7" t="s">
        <v>56</v>
      </c>
      <c r="N3" s="7" t="s">
        <v>57</v>
      </c>
      <c r="O3" s="7" t="s">
        <v>58</v>
      </c>
      <c r="P3" s="7" t="s">
        <v>59</v>
      </c>
      <c r="Q3" s="0" t="s">
        <v>60</v>
      </c>
      <c r="R3" s="9" t="s">
        <v>61</v>
      </c>
      <c r="S3" s="9"/>
      <c r="T3" s="10" t="n">
        <v>2010</v>
      </c>
      <c r="U3" s="7" t="s">
        <v>62</v>
      </c>
      <c r="V3" s="7" t="s">
        <v>62</v>
      </c>
      <c r="W3" s="7" t="s">
        <v>63</v>
      </c>
      <c r="X3" s="0" t="s">
        <v>64</v>
      </c>
      <c r="Y3" s="7" t="s">
        <v>65</v>
      </c>
      <c r="Z3" s="0" t="s">
        <v>66</v>
      </c>
      <c r="AA3" s="11" t="n">
        <v>1932235.46</v>
      </c>
      <c r="AB3" s="11" t="n">
        <v>628342.2473</v>
      </c>
      <c r="AC3" s="11" t="n">
        <f aca="false">AB3+AA3</f>
        <v>2560577.7073</v>
      </c>
      <c r="AD3" s="11" t="s">
        <v>67</v>
      </c>
      <c r="AE3" s="12" t="n">
        <v>276395.0061</v>
      </c>
      <c r="AF3" s="11" t="s">
        <v>68</v>
      </c>
      <c r="AG3" s="11" t="n">
        <v>3187464.11750685</v>
      </c>
      <c r="AH3" s="11" t="n">
        <v>-21623.1035068493</v>
      </c>
      <c r="AI3" s="11" t="n">
        <v>5284.29776712329</v>
      </c>
      <c r="AJ3" s="11" t="n">
        <f aca="false">AI3+AH3</f>
        <v>-16338.805739726</v>
      </c>
      <c r="AK3" s="11" t="n">
        <v>348338.479246575</v>
      </c>
      <c r="AL3" s="11" t="s">
        <v>69</v>
      </c>
      <c r="AM3" s="11" t="n">
        <v>-126155.016808219</v>
      </c>
      <c r="AN3" s="11" t="n">
        <v>411233.770486301</v>
      </c>
      <c r="AO3" s="11" t="n">
        <f aca="false">AK3-AJ3-AM3</f>
        <v>490832.301794521</v>
      </c>
      <c r="AP3" s="13" t="e">
        <f aca="false">IF(AO3=0,"н/д",IF((AE3+AF3)/AO3&gt;=0,(AE3+AF3)/AO3,"Отриц."))</f>
        <v>#VALUE!</v>
      </c>
      <c r="AQ3" s="14" t="n">
        <v>1338</v>
      </c>
      <c r="AR3" s="14" t="s">
        <v>70</v>
      </c>
      <c r="AS3" s="14" t="s">
        <v>71</v>
      </c>
      <c r="AT3" s="9" t="s">
        <v>72</v>
      </c>
      <c r="AU3" s="9"/>
      <c r="AV3" s="9"/>
      <c r="AW3" s="7"/>
      <c r="AX3" s="7"/>
      <c r="AY3" s="7"/>
      <c r="AZ3" s="7"/>
    </row>
  </sheetData>
  <hyperlinks>
    <hyperlink ref="R3" r:id="rId1" display="www.mosenergo.ru"/>
    <hyperlink ref="AT3" r:id="rId2" display="http://www.lukoil.ru/new/finreports/201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2015-10-08T09:37:20Z</dcterms:created>
  <dc:creator>ElisDN </dc:creator>
  <dc:language>ru-RU</dc:language>
  <cp:revision>0</cp:revision>
</cp:coreProperties>
</file>